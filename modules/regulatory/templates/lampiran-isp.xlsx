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BDKKX0OBnnJH9tnyMxmzAW/nWvAonTVGKnnQXhJeTcs="/>
    </ext>
  </extLst>
</workbook>
</file>

<file path=xl/sharedStrings.xml><?xml version="1.0" encoding="utf-8"?>
<sst xmlns="http://schemas.openxmlformats.org/spreadsheetml/2006/main" count="177" uniqueCount="91">
  <si>
    <t>Lampiran I</t>
  </si>
  <si>
    <t>Metode Pengukuran</t>
  </si>
  <si>
    <r>
      <rPr>
        <rFont val="Bookman Old Style"/>
        <b/>
        <color theme="1"/>
        <sz val="12.0"/>
      </rPr>
      <t>1.</t>
    </r>
    <r>
      <rPr>
        <rFont val="Times New Roman"/>
        <b/>
        <color theme="1"/>
        <sz val="7.0"/>
      </rPr>
      <t xml:space="preserve">  </t>
    </r>
    <r>
      <rPr>
        <rFont val="Bookman Old Style"/>
        <b/>
        <color theme="1"/>
        <sz val="12.0"/>
      </rPr>
      <t>ISP Menggunakan Media Akses Jaringan Bergerak Seluler</t>
    </r>
  </si>
  <si>
    <t>A.    Network Retaled</t>
  </si>
  <si>
    <t>1.     Layanan Internet</t>
  </si>
  <si>
    <t>No</t>
  </si>
  <si>
    <t>Sampel Packet Loss (Drop Rate)</t>
  </si>
  <si>
    <t>Tipe Pengukuran ST/DT</t>
  </si>
  <si>
    <t>Waktu kirim data</t>
  </si>
  <si>
    <t>Waktu terima data</t>
  </si>
  <si>
    <t>Interval waktu Pengirman dan penerimaan</t>
  </si>
  <si>
    <t>Keterangan Sukses Pengujian Ya/Tidak</t>
  </si>
  <si>
    <t>Contoh Perhitungan Agregasi Statistik</t>
  </si>
  <si>
    <t>BULAN</t>
  </si>
  <si>
    <t>KELUHAN DITERIMA</t>
  </si>
  <si>
    <t>KELUHAN DISELESAIKAN</t>
  </si>
  <si>
    <t>STATISTIK</t>
  </si>
  <si>
    <t>Sampel Network Latency</t>
  </si>
  <si>
    <t>STANDAR KELUHAN UMUM PENGGUNA</t>
  </si>
  <si>
    <t>Januari</t>
  </si>
  <si>
    <t>Sampel Download Test</t>
  </si>
  <si>
    <t>Waktu mulai download</t>
  </si>
  <si>
    <t>Waktu selesai download</t>
  </si>
  <si>
    <t>Interval waktu mulai dan Selesai Download</t>
  </si>
  <si>
    <t>Februari</t>
  </si>
  <si>
    <t>Maret</t>
  </si>
  <si>
    <t>April</t>
  </si>
  <si>
    <t>Sampel Upload Test</t>
  </si>
  <si>
    <t>Waktu mulai upload</t>
  </si>
  <si>
    <t>Waktu selesai upload</t>
  </si>
  <si>
    <t>Interval waktu mulai dan Selesai upload</t>
  </si>
  <si>
    <t>Mei</t>
  </si>
  <si>
    <t>Juni</t>
  </si>
  <si>
    <t>Juli</t>
  </si>
  <si>
    <t>Agustus</t>
  </si>
  <si>
    <t>B.    Non Network Related</t>
  </si>
  <si>
    <t>September</t>
  </si>
  <si>
    <t>1.     Penanganan Keluhan Akurasi Tagihan</t>
  </si>
  <si>
    <t>Daftar Penanganan Keluhan Akurasi Tagihan</t>
  </si>
  <si>
    <t>Tanggal dan waktu Penanganan Keluhan Akurasi Tagihan (dd/mm/yyy hh:mm:ss)</t>
  </si>
  <si>
    <t>Tanggal dan waktu peyelesaian Penanganan Keluhan Akurasi Tagihan (dd/mm/yyy hh:mm:ss)</t>
  </si>
  <si>
    <t>Durasi proses Penanganan Keluhan Akurasi Tagihan layanan (hari)</t>
  </si>
  <si>
    <t>Oktober</t>
  </si>
  <si>
    <t>..</t>
  </si>
  <si>
    <t>November</t>
  </si>
  <si>
    <t>Desember</t>
  </si>
  <si>
    <t>Capaian 1 (Satu) Tahun</t>
  </si>
  <si>
    <t xml:space="preserve">Kuartal 1 </t>
  </si>
  <si>
    <t>2.     Standar Penanganan Keluhan Umum Pengguna</t>
  </si>
  <si>
    <t>Daftar Semua Keluhan Umum</t>
  </si>
  <si>
    <t>Jenis Keluhan Umum</t>
  </si>
  <si>
    <t>Waktu awal keluhan umum (dd/mm/yyy hh:mm:ss)</t>
  </si>
  <si>
    <t>Waktu Penyelesaian Keluhan Umum (dd/mm/yyy hh:mm:ss)</t>
  </si>
  <si>
    <t>Kuartal 2</t>
  </si>
  <si>
    <t>Kuartal 3</t>
  </si>
  <si>
    <t>3.     Standar Tingkat Laporan Gangguan Layanan</t>
  </si>
  <si>
    <t>Daftar Laporan Gangguan Layanan</t>
  </si>
  <si>
    <t>Jenis Laporan Gangguan Layanan</t>
  </si>
  <si>
    <t>Kuartal 4</t>
  </si>
  <si>
    <t>Waktu Laporan Gangguan Layanan (dd/mm/yyy hh:mm:ss)</t>
  </si>
  <si>
    <t>Waktu Penyelesaian Laporan Gangguan Layanan (dd/mm/yyy hh:mm:ss)</t>
  </si>
  <si>
    <t>4.     Standar Kecepatan Jawab Kontak layanan informasi</t>
  </si>
  <si>
    <t>Daftar Semua Panggilan yang diterima</t>
  </si>
  <si>
    <t>Waktu mulai panggilan  (dd/mm/yyy hh:mm:ss)</t>
  </si>
  <si>
    <t>Waktu menjawab panggilan (dd/mm/yyy hh:mm:ss)</t>
  </si>
  <si>
    <t>Waktu terputus Panggilan (dd/mm/yyy hh:mm:ss)</t>
  </si>
  <si>
    <t>Durasi panggilan</t>
  </si>
  <si>
    <t>Daftar Semua Email yang diterima</t>
  </si>
  <si>
    <t>Waktu email masuk  (dd/mm/yyy hh:mm:ss)</t>
  </si>
  <si>
    <t>Waktu membuka email  (dd/mm/yyy hh:mm:ss)</t>
  </si>
  <si>
    <t>Waktu membalas email (dd/mm/yyy hh:mm:ss)</t>
  </si>
  <si>
    <t>Durasi emal masuk sampai dibalas</t>
  </si>
  <si>
    <t>5.     Standar Pemenuhan Aktivasi Paket Data</t>
  </si>
  <si>
    <t>Daftar semua aktivasi paket data</t>
  </si>
  <si>
    <t>Waktu awal aktivasi paket data (dd/mm/yyy hh:mm:ss)</t>
  </si>
  <si>
    <t>Waktu paket data berhasil (dd/mm/yyy hh:mm:ss)</t>
  </si>
  <si>
    <t>Durasi awal hingga paket data berhasil</t>
  </si>
  <si>
    <r>
      <rPr>
        <rFont val="Bookman Old Style"/>
        <b/>
        <color theme="1"/>
        <sz val="12.0"/>
      </rPr>
      <t>2.</t>
    </r>
    <r>
      <rPr>
        <rFont val="Times New Roman"/>
        <b/>
        <color theme="1"/>
        <sz val="7.0"/>
      </rPr>
      <t xml:space="preserve">  </t>
    </r>
    <r>
      <rPr>
        <rFont val="Bookman Old Style"/>
        <b/>
        <color theme="1"/>
        <sz val="12.0"/>
      </rPr>
      <t xml:space="preserve">ISP Menggunakan Media Akses Jaringan Tetap Lokal </t>
    </r>
    <r>
      <rPr>
        <rFont val="Bookman Old Style"/>
        <b/>
        <i/>
        <color theme="1"/>
        <sz val="12.0"/>
      </rPr>
      <t>(Packet Switched)</t>
    </r>
  </si>
  <si>
    <t>Point of Presence (POP)</t>
  </si>
  <si>
    <t>Downtime</t>
  </si>
  <si>
    <t>Uptime</t>
  </si>
  <si>
    <t xml:space="preserve">Durasi waktu </t>
  </si>
  <si>
    <t>1.     Penanganan Pemenuhan pasang baru</t>
  </si>
  <si>
    <t>Daftar Pemohon Pasang Baru yang disetujui</t>
  </si>
  <si>
    <t>Tanggal dan waktu pengajuan pemohon pasang baru (dd/mm/yyy hh:mm:ss)</t>
  </si>
  <si>
    <t>Tanggal dan waktu persetujuan pemohon pasang baru (dd/mm/yyy hh:mm:ss)</t>
  </si>
  <si>
    <t>Durasi proses persetujuan permohonan pasang baru(hari)</t>
  </si>
  <si>
    <t>2.     Penanganan Keluhan Akurasi Tagihan</t>
  </si>
  <si>
    <t>3.     Standar Penanganan Keluhan Umum Pengguna</t>
  </si>
  <si>
    <t>4.     Standar Tingkat Laporan Gangguan Layanan</t>
  </si>
  <si>
    <t>5.     Standar Kecepatan Jawab Kontak layanan informasi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</si>
</sst>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1"/>
      <name val="Bookman Old Style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/>
    <font>
      <b/>
      <sz val="16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3" numFmtId="0" xfId="0" applyFont="1"/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1" fillId="0" fontId="4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3" fillId="0" fontId="4" numFmtId="10" xfId="0" applyAlignment="1" applyBorder="1" applyFont="1" applyNumberFormat="1">
      <alignment horizontal="center" vertical="center"/>
    </xf>
    <xf borderId="0" fillId="0" fontId="4" numFmtId="0" xfId="0" applyFont="1"/>
    <xf borderId="10" fillId="0" fontId="7" numFmtId="0" xfId="0" applyAlignment="1" applyBorder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" fillId="0" fontId="7" numFmtId="2" xfId="0" applyAlignment="1" applyBorder="1" applyFont="1" applyNumberFormat="1">
      <alignment horizontal="center"/>
    </xf>
    <xf borderId="10" fillId="0" fontId="7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4" numFmtId="10" xfId="0" applyAlignment="1" applyBorder="1" applyFont="1" applyNumberFormat="1">
      <alignment horizontal="center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2.86"/>
    <col customWidth="1" min="3" max="3" width="22.29"/>
    <col customWidth="1" min="4" max="4" width="50.0"/>
    <col customWidth="1" min="5" max="5" width="44.29"/>
    <col customWidth="1" min="6" max="6" width="21.57"/>
    <col customWidth="1" min="7" max="7" width="20.71"/>
    <col customWidth="1" min="8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14.25" customHeight="1">
      <c r="A4" s="2" t="s">
        <v>2</v>
      </c>
    </row>
    <row r="5" ht="14.25" customHeight="1">
      <c r="A5" s="3" t="s">
        <v>3</v>
      </c>
    </row>
    <row r="6" ht="14.25" customHeight="1">
      <c r="A6" s="3" t="s">
        <v>4</v>
      </c>
    </row>
    <row r="7" ht="14.25" customHeight="1">
      <c r="A7" s="4" t="s">
        <v>5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</row>
    <row r="8" ht="14.25" customHeight="1">
      <c r="A8" s="4"/>
      <c r="B8" s="4"/>
      <c r="C8" s="4"/>
      <c r="D8" s="4"/>
      <c r="E8" s="4"/>
      <c r="F8" s="4"/>
      <c r="G8" s="4"/>
    </row>
    <row r="9" ht="14.25" customHeight="1">
      <c r="A9" s="4"/>
      <c r="B9" s="4"/>
      <c r="C9" s="4"/>
      <c r="D9" s="4"/>
      <c r="E9" s="4"/>
      <c r="F9" s="4"/>
      <c r="G9" s="4"/>
    </row>
    <row r="10" ht="14.25" customHeight="1">
      <c r="A10" s="4"/>
      <c r="B10" s="4"/>
      <c r="C10" s="4"/>
      <c r="D10" s="4"/>
      <c r="E10" s="4"/>
      <c r="F10" s="4"/>
      <c r="G10" s="4"/>
    </row>
    <row r="11" ht="14.25" customHeight="1">
      <c r="A11" s="4"/>
      <c r="B11" s="4"/>
      <c r="C11" s="4"/>
      <c r="D11" s="4"/>
      <c r="E11" s="4"/>
      <c r="F11" s="4"/>
      <c r="G11" s="4"/>
    </row>
    <row r="12" ht="14.25" customHeight="1">
      <c r="A12" s="4"/>
      <c r="B12" s="4"/>
      <c r="C12" s="4"/>
      <c r="D12" s="4"/>
      <c r="E12" s="4"/>
      <c r="F12" s="4"/>
      <c r="G12" s="4"/>
    </row>
    <row r="13" ht="14.25" customHeight="1"/>
    <row r="14" ht="14.25" customHeight="1">
      <c r="A14" s="9" t="s">
        <v>5</v>
      </c>
      <c r="B14" s="9" t="s">
        <v>17</v>
      </c>
      <c r="C14" s="9" t="s">
        <v>7</v>
      </c>
      <c r="D14" s="9" t="s">
        <v>8</v>
      </c>
      <c r="E14" s="9" t="s">
        <v>9</v>
      </c>
      <c r="F14" s="9" t="s">
        <v>10</v>
      </c>
      <c r="G14" s="9" t="s">
        <v>11</v>
      </c>
    </row>
    <row r="15" ht="14.25" customHeight="1">
      <c r="A15" s="14"/>
      <c r="B15" s="14"/>
      <c r="C15" s="14"/>
      <c r="D15" s="14"/>
      <c r="E15" s="14"/>
      <c r="F15" s="14"/>
      <c r="G15" s="14"/>
    </row>
    <row r="16" ht="14.25" customHeight="1">
      <c r="A16" s="14"/>
      <c r="B16" s="14"/>
      <c r="C16" s="14"/>
      <c r="D16" s="14"/>
      <c r="E16" s="14"/>
      <c r="F16" s="14"/>
      <c r="G16" s="14"/>
    </row>
    <row r="17" ht="14.25" customHeight="1">
      <c r="A17" s="14"/>
      <c r="B17" s="14"/>
      <c r="C17" s="14"/>
      <c r="D17" s="14"/>
      <c r="E17" s="14"/>
      <c r="F17" s="14"/>
      <c r="G17" s="14"/>
    </row>
    <row r="18" ht="14.25" customHeight="1">
      <c r="A18" s="14"/>
      <c r="B18" s="14"/>
      <c r="C18" s="14"/>
      <c r="D18" s="14"/>
      <c r="E18" s="14"/>
      <c r="F18" s="14"/>
      <c r="G18" s="14"/>
    </row>
    <row r="19" ht="14.25" customHeight="1"/>
    <row r="20" ht="14.25" customHeight="1">
      <c r="A20" s="9" t="s">
        <v>5</v>
      </c>
      <c r="B20" s="9" t="s">
        <v>20</v>
      </c>
      <c r="C20" s="9" t="s">
        <v>7</v>
      </c>
      <c r="D20" s="9" t="s">
        <v>21</v>
      </c>
      <c r="E20" s="9" t="s">
        <v>22</v>
      </c>
      <c r="F20" s="9" t="s">
        <v>23</v>
      </c>
      <c r="G20" s="9" t="s">
        <v>11</v>
      </c>
    </row>
    <row r="21" ht="14.25" customHeight="1">
      <c r="A21" s="14"/>
      <c r="B21" s="14"/>
      <c r="C21" s="14"/>
      <c r="D21" s="14"/>
      <c r="E21" s="14"/>
      <c r="F21" s="14"/>
      <c r="G21" s="14"/>
    </row>
    <row r="22" ht="14.25" customHeight="1">
      <c r="A22" s="14"/>
      <c r="B22" s="14"/>
      <c r="C22" s="14"/>
      <c r="D22" s="14"/>
      <c r="E22" s="14"/>
      <c r="F22" s="14"/>
      <c r="G22" s="14"/>
    </row>
    <row r="23" ht="14.25" customHeight="1">
      <c r="A23" s="14"/>
      <c r="B23" s="14"/>
      <c r="C23" s="14"/>
      <c r="D23" s="14"/>
      <c r="E23" s="14"/>
      <c r="F23" s="14"/>
      <c r="G23" s="14"/>
    </row>
    <row r="24" ht="14.25" customHeight="1">
      <c r="A24" s="14"/>
      <c r="B24" s="14"/>
      <c r="C24" s="14"/>
      <c r="D24" s="14"/>
      <c r="E24" s="14"/>
      <c r="F24" s="14"/>
      <c r="G24" s="14"/>
    </row>
    <row r="25" ht="14.25" customHeight="1"/>
    <row r="26" ht="14.25" customHeight="1">
      <c r="A26" s="9" t="s">
        <v>5</v>
      </c>
      <c r="B26" s="9" t="s">
        <v>27</v>
      </c>
      <c r="C26" s="9" t="s">
        <v>7</v>
      </c>
      <c r="D26" s="9" t="s">
        <v>28</v>
      </c>
      <c r="E26" s="9" t="s">
        <v>29</v>
      </c>
      <c r="F26" s="9" t="s">
        <v>30</v>
      </c>
      <c r="G26" s="9" t="s">
        <v>11</v>
      </c>
    </row>
    <row r="27" ht="14.25" customHeight="1">
      <c r="A27" s="14"/>
      <c r="B27" s="14"/>
      <c r="C27" s="14"/>
      <c r="D27" s="14"/>
      <c r="E27" s="14"/>
      <c r="F27" s="14"/>
      <c r="G27" s="14"/>
    </row>
    <row r="28" ht="14.25" customHeight="1">
      <c r="A28" s="14"/>
      <c r="B28" s="14"/>
      <c r="C28" s="14"/>
      <c r="D28" s="14"/>
      <c r="E28" s="14"/>
      <c r="F28" s="14"/>
      <c r="G28" s="14"/>
    </row>
    <row r="29" ht="14.25" customHeight="1">
      <c r="A29" s="14"/>
      <c r="B29" s="14"/>
      <c r="C29" s="14"/>
      <c r="D29" s="14"/>
      <c r="E29" s="14"/>
      <c r="F29" s="14"/>
      <c r="G29" s="14"/>
    </row>
    <row r="30" ht="14.25" customHeight="1">
      <c r="A30" s="14"/>
      <c r="B30" s="14"/>
      <c r="C30" s="14"/>
      <c r="D30" s="14"/>
      <c r="E30" s="14"/>
      <c r="F30" s="14"/>
      <c r="G30" s="14"/>
    </row>
    <row r="31" ht="14.25" customHeight="1">
      <c r="A31" s="14"/>
      <c r="B31" s="14"/>
      <c r="C31" s="14"/>
      <c r="D31" s="14"/>
      <c r="E31" s="14"/>
      <c r="F31" s="14"/>
      <c r="G31" s="14"/>
    </row>
    <row r="32" ht="14.25" customHeight="1"/>
    <row r="33" ht="14.25" customHeight="1">
      <c r="A33" s="22" t="s">
        <v>35</v>
      </c>
    </row>
    <row r="34" ht="14.25" customHeight="1">
      <c r="A34" s="22" t="s">
        <v>37</v>
      </c>
    </row>
    <row r="35" ht="58.5" customHeight="1">
      <c r="A35" s="9" t="s">
        <v>5</v>
      </c>
      <c r="B35" s="9" t="s">
        <v>38</v>
      </c>
      <c r="C35" s="9" t="s">
        <v>39</v>
      </c>
      <c r="D35" s="9" t="s">
        <v>40</v>
      </c>
      <c r="E35" s="9" t="s">
        <v>41</v>
      </c>
    </row>
    <row r="36" ht="14.25" customHeight="1">
      <c r="A36" s="14">
        <v>1.0</v>
      </c>
      <c r="B36" s="14"/>
      <c r="C36" s="14"/>
      <c r="D36" s="14"/>
      <c r="E36" s="14"/>
    </row>
    <row r="37" ht="14.25" customHeight="1">
      <c r="A37" s="14">
        <v>2.0</v>
      </c>
      <c r="B37" s="14"/>
      <c r="C37" s="14"/>
      <c r="D37" s="14"/>
      <c r="E37" s="14"/>
    </row>
    <row r="38" ht="14.25" customHeight="1">
      <c r="A38" s="14" t="s">
        <v>43</v>
      </c>
      <c r="B38" s="14"/>
      <c r="C38" s="14"/>
      <c r="D38" s="14"/>
      <c r="E38" s="14"/>
    </row>
    <row r="39" ht="14.25" customHeight="1">
      <c r="A39" s="14" t="s">
        <v>43</v>
      </c>
      <c r="B39" s="14"/>
      <c r="C39" s="14"/>
      <c r="D39" s="14"/>
      <c r="E39" s="14"/>
    </row>
    <row r="40" ht="14.25" customHeight="1">
      <c r="A40" s="14" t="s">
        <v>43</v>
      </c>
      <c r="B40" s="14"/>
      <c r="C40" s="14"/>
      <c r="D40" s="14"/>
      <c r="E40" s="14"/>
    </row>
    <row r="41" ht="14.25" customHeight="1">
      <c r="A41" s="14">
        <v>100.0</v>
      </c>
      <c r="B41" s="14"/>
      <c r="C41" s="14"/>
      <c r="D41" s="14"/>
      <c r="E41" s="14"/>
    </row>
    <row r="42" ht="14.25" customHeight="1"/>
    <row r="43" ht="14.25" customHeight="1">
      <c r="A43" s="22" t="s">
        <v>48</v>
      </c>
    </row>
    <row r="44" ht="14.25" customHeight="1">
      <c r="A44" s="9" t="s">
        <v>5</v>
      </c>
      <c r="B44" s="9" t="s">
        <v>49</v>
      </c>
      <c r="C44" s="9" t="s">
        <v>50</v>
      </c>
      <c r="D44" s="9" t="s">
        <v>51</v>
      </c>
      <c r="E44" s="9" t="s">
        <v>52</v>
      </c>
    </row>
    <row r="45" ht="14.25" customHeight="1">
      <c r="A45" s="14">
        <v>1.0</v>
      </c>
      <c r="B45" s="14"/>
      <c r="C45" s="14"/>
      <c r="D45" s="14"/>
      <c r="E45" s="14"/>
    </row>
    <row r="46" ht="14.25" customHeight="1">
      <c r="A46" s="14">
        <v>2.0</v>
      </c>
      <c r="B46" s="14"/>
      <c r="C46" s="14"/>
      <c r="D46" s="14"/>
      <c r="E46" s="14"/>
    </row>
    <row r="47" ht="14.25" customHeight="1">
      <c r="A47" s="14" t="s">
        <v>43</v>
      </c>
      <c r="B47" s="14"/>
      <c r="C47" s="14"/>
      <c r="D47" s="14"/>
      <c r="E47" s="14"/>
    </row>
    <row r="48" ht="14.25" customHeight="1">
      <c r="A48" s="14" t="s">
        <v>43</v>
      </c>
      <c r="B48" s="14"/>
      <c r="C48" s="14"/>
      <c r="D48" s="14"/>
      <c r="E48" s="14"/>
    </row>
    <row r="49" ht="14.25" customHeight="1">
      <c r="A49" s="14" t="s">
        <v>43</v>
      </c>
      <c r="B49" s="14"/>
      <c r="C49" s="14"/>
      <c r="D49" s="14"/>
      <c r="E49" s="14"/>
    </row>
    <row r="50" ht="14.25" customHeight="1">
      <c r="A50" s="14">
        <v>100.0</v>
      </c>
      <c r="B50" s="14"/>
      <c r="C50" s="14"/>
      <c r="D50" s="14"/>
      <c r="E50" s="14"/>
    </row>
    <row r="51" ht="14.25" customHeight="1"/>
    <row r="52" ht="14.25" customHeight="1">
      <c r="A52" s="22" t="s">
        <v>55</v>
      </c>
    </row>
    <row r="53" ht="14.25" customHeight="1">
      <c r="A53" s="9" t="s">
        <v>5</v>
      </c>
      <c r="B53" s="9" t="s">
        <v>56</v>
      </c>
      <c r="C53" s="9" t="s">
        <v>57</v>
      </c>
      <c r="D53" s="9" t="s">
        <v>59</v>
      </c>
      <c r="E53" s="9" t="s">
        <v>60</v>
      </c>
    </row>
    <row r="54" ht="14.25" customHeight="1">
      <c r="A54" s="14">
        <v>1.0</v>
      </c>
      <c r="B54" s="14"/>
      <c r="C54" s="14"/>
      <c r="D54" s="14"/>
      <c r="E54" s="14"/>
    </row>
    <row r="55" ht="14.25" customHeight="1">
      <c r="A55" s="14">
        <v>2.0</v>
      </c>
      <c r="B55" s="14"/>
      <c r="C55" s="14"/>
      <c r="D55" s="14"/>
      <c r="E55" s="14"/>
    </row>
    <row r="56" ht="14.25" customHeight="1">
      <c r="A56" s="14" t="s">
        <v>43</v>
      </c>
      <c r="B56" s="14"/>
      <c r="C56" s="14"/>
      <c r="D56" s="14"/>
      <c r="E56" s="14"/>
    </row>
    <row r="57" ht="14.25" customHeight="1">
      <c r="A57" s="14" t="s">
        <v>43</v>
      </c>
      <c r="B57" s="14"/>
      <c r="C57" s="14"/>
      <c r="D57" s="14"/>
      <c r="E57" s="14"/>
    </row>
    <row r="58" ht="14.25" customHeight="1">
      <c r="A58" s="14" t="s">
        <v>43</v>
      </c>
      <c r="B58" s="14"/>
      <c r="C58" s="14"/>
      <c r="D58" s="14"/>
      <c r="E58" s="14"/>
    </row>
    <row r="59" ht="14.25" customHeight="1">
      <c r="A59" s="14">
        <v>100.0</v>
      </c>
      <c r="B59" s="14"/>
      <c r="C59" s="14"/>
      <c r="D59" s="14"/>
      <c r="E59" s="14"/>
    </row>
    <row r="60" ht="14.25" customHeight="1"/>
    <row r="61" ht="14.25" customHeight="1">
      <c r="A61" s="22" t="s">
        <v>61</v>
      </c>
    </row>
    <row r="62" ht="14.25" customHeight="1">
      <c r="A62" s="9" t="s">
        <v>5</v>
      </c>
      <c r="B62" s="9" t="s">
        <v>62</v>
      </c>
      <c r="C62" s="9" t="s">
        <v>63</v>
      </c>
      <c r="D62" s="9" t="s">
        <v>64</v>
      </c>
      <c r="E62" s="9" t="s">
        <v>65</v>
      </c>
      <c r="F62" s="9" t="s">
        <v>66</v>
      </c>
    </row>
    <row r="63" ht="14.25" customHeight="1">
      <c r="A63" s="14"/>
      <c r="B63" s="14"/>
      <c r="C63" s="14"/>
      <c r="D63" s="14"/>
      <c r="E63" s="14"/>
      <c r="F63" s="14"/>
    </row>
    <row r="64" ht="14.25" customHeight="1">
      <c r="A64" s="14"/>
      <c r="B64" s="14"/>
      <c r="C64" s="14"/>
      <c r="D64" s="14"/>
      <c r="E64" s="14"/>
      <c r="F64" s="14"/>
    </row>
    <row r="65" ht="14.25" customHeight="1">
      <c r="A65" s="14"/>
      <c r="B65" s="14"/>
      <c r="C65" s="14"/>
      <c r="D65" s="14"/>
      <c r="E65" s="14"/>
      <c r="F65" s="14"/>
    </row>
    <row r="66" ht="14.25" customHeight="1">
      <c r="A66" s="14"/>
      <c r="B66" s="14"/>
      <c r="C66" s="14"/>
      <c r="D66" s="14"/>
      <c r="E66" s="14"/>
      <c r="F66" s="14"/>
    </row>
    <row r="67" ht="14.25" customHeight="1"/>
    <row r="68" ht="14.25" customHeight="1">
      <c r="A68" s="9" t="s">
        <v>5</v>
      </c>
      <c r="B68" s="9" t="s">
        <v>67</v>
      </c>
      <c r="C68" s="9" t="s">
        <v>68</v>
      </c>
      <c r="D68" s="9" t="s">
        <v>69</v>
      </c>
      <c r="E68" s="9" t="s">
        <v>70</v>
      </c>
      <c r="F68" s="9" t="s">
        <v>71</v>
      </c>
    </row>
    <row r="69" ht="14.25" customHeight="1">
      <c r="A69" s="14"/>
      <c r="B69" s="14"/>
      <c r="C69" s="14"/>
      <c r="D69" s="14"/>
      <c r="E69" s="14"/>
      <c r="F69" s="14"/>
    </row>
    <row r="70" ht="14.25" customHeight="1">
      <c r="A70" s="14"/>
      <c r="B70" s="14"/>
      <c r="C70" s="14"/>
      <c r="D70" s="14"/>
      <c r="E70" s="14"/>
      <c r="F70" s="14"/>
    </row>
    <row r="71" ht="14.25" customHeight="1">
      <c r="A71" s="14"/>
      <c r="B71" s="14"/>
      <c r="C71" s="14"/>
      <c r="D71" s="14"/>
      <c r="E71" s="14"/>
      <c r="F71" s="14"/>
    </row>
    <row r="72" ht="14.25" customHeight="1">
      <c r="A72" s="14"/>
      <c r="B72" s="14"/>
      <c r="C72" s="14"/>
      <c r="D72" s="14"/>
      <c r="E72" s="14"/>
      <c r="F72" s="14"/>
    </row>
    <row r="73" ht="14.25" customHeight="1"/>
    <row r="74" ht="14.25" customHeight="1">
      <c r="A74" s="22" t="s">
        <v>72</v>
      </c>
    </row>
    <row r="75" ht="14.25" customHeight="1">
      <c r="A75" s="9" t="s">
        <v>5</v>
      </c>
      <c r="B75" s="9" t="s">
        <v>73</v>
      </c>
      <c r="C75" s="9" t="s">
        <v>74</v>
      </c>
      <c r="D75" s="9" t="s">
        <v>75</v>
      </c>
      <c r="E75" s="9" t="s">
        <v>76</v>
      </c>
    </row>
    <row r="76" ht="14.25" customHeight="1">
      <c r="A76" s="14"/>
      <c r="B76" s="14"/>
      <c r="C76" s="14"/>
      <c r="D76" s="14"/>
      <c r="E76" s="14"/>
    </row>
    <row r="77" ht="14.25" customHeight="1">
      <c r="A77" s="14"/>
      <c r="B77" s="14"/>
      <c r="C77" s="14"/>
      <c r="D77" s="14"/>
      <c r="E77" s="14"/>
    </row>
    <row r="78" ht="14.25" customHeight="1">
      <c r="A78" s="14"/>
      <c r="B78" s="14"/>
      <c r="C78" s="14"/>
      <c r="D78" s="14"/>
      <c r="E78" s="14"/>
    </row>
    <row r="79" ht="14.25" customHeight="1">
      <c r="A79" s="14"/>
      <c r="B79" s="14"/>
      <c r="C79" s="14"/>
      <c r="D79" s="14"/>
      <c r="E79" s="14"/>
    </row>
    <row r="80" ht="14.25" customHeight="1"/>
    <row r="81" ht="14.25" customHeight="1"/>
    <row r="82" ht="14.25" customHeight="1">
      <c r="A82" s="2" t="s">
        <v>77</v>
      </c>
    </row>
    <row r="83" ht="14.25" customHeight="1"/>
    <row r="84" ht="14.25" customHeight="1">
      <c r="A84" s="3" t="s">
        <v>3</v>
      </c>
    </row>
    <row r="85" ht="14.25" customHeight="1">
      <c r="A85" s="3" t="s">
        <v>4</v>
      </c>
    </row>
    <row r="86" ht="14.25" customHeight="1">
      <c r="A86" s="4" t="s">
        <v>5</v>
      </c>
      <c r="B86" s="5" t="s">
        <v>6</v>
      </c>
      <c r="C86" s="4" t="s">
        <v>7</v>
      </c>
      <c r="D86" s="4" t="s">
        <v>8</v>
      </c>
      <c r="E86" s="4" t="s">
        <v>9</v>
      </c>
      <c r="F86" s="4" t="s">
        <v>10</v>
      </c>
      <c r="G86" s="4" t="s">
        <v>11</v>
      </c>
    </row>
    <row r="87" ht="14.25" customHeight="1">
      <c r="A87" s="4"/>
      <c r="B87" s="4"/>
      <c r="C87" s="4"/>
      <c r="D87" s="4"/>
      <c r="E87" s="4"/>
      <c r="F87" s="4"/>
      <c r="G87" s="4"/>
    </row>
    <row r="88" ht="14.25" customHeight="1">
      <c r="A88" s="4"/>
      <c r="B88" s="4"/>
      <c r="C88" s="4"/>
      <c r="D88" s="4"/>
      <c r="E88" s="4"/>
      <c r="F88" s="4"/>
      <c r="G88" s="4"/>
    </row>
    <row r="89" ht="14.25" customHeight="1">
      <c r="A89" s="4"/>
      <c r="B89" s="4"/>
      <c r="C89" s="4"/>
      <c r="D89" s="4"/>
      <c r="E89" s="4"/>
      <c r="F89" s="4"/>
      <c r="G89" s="4"/>
    </row>
    <row r="90" ht="14.25" customHeight="1">
      <c r="A90" s="4"/>
      <c r="B90" s="4"/>
      <c r="C90" s="4"/>
      <c r="D90" s="4"/>
      <c r="E90" s="4"/>
      <c r="F90" s="4"/>
      <c r="G90" s="4"/>
    </row>
    <row r="91" ht="14.25" customHeight="1">
      <c r="A91" s="4"/>
      <c r="B91" s="4"/>
      <c r="C91" s="4"/>
      <c r="D91" s="4"/>
      <c r="E91" s="4"/>
      <c r="F91" s="4"/>
      <c r="G91" s="4"/>
    </row>
    <row r="92" ht="14.25" customHeight="1"/>
    <row r="93" ht="14.25" customHeight="1">
      <c r="A93" s="9" t="s">
        <v>5</v>
      </c>
      <c r="B93" s="9" t="s">
        <v>17</v>
      </c>
      <c r="C93" s="9" t="s">
        <v>7</v>
      </c>
      <c r="D93" s="9" t="s">
        <v>8</v>
      </c>
      <c r="E93" s="9" t="s">
        <v>9</v>
      </c>
      <c r="F93" s="9" t="s">
        <v>10</v>
      </c>
      <c r="G93" s="9" t="s">
        <v>11</v>
      </c>
    </row>
    <row r="94" ht="14.25" customHeight="1">
      <c r="A94" s="14"/>
      <c r="B94" s="14"/>
      <c r="C94" s="14"/>
      <c r="D94" s="14"/>
      <c r="E94" s="14"/>
      <c r="F94" s="14"/>
      <c r="G94" s="14"/>
    </row>
    <row r="95" ht="14.25" customHeight="1">
      <c r="A95" s="14"/>
      <c r="B95" s="14"/>
      <c r="C95" s="14"/>
      <c r="D95" s="14"/>
      <c r="E95" s="14"/>
      <c r="F95" s="14"/>
      <c r="G95" s="14"/>
    </row>
    <row r="96" ht="14.25" customHeight="1">
      <c r="A96" s="14"/>
      <c r="B96" s="14"/>
      <c r="C96" s="14"/>
      <c r="D96" s="14"/>
      <c r="E96" s="14"/>
      <c r="F96" s="14"/>
      <c r="G96" s="14"/>
    </row>
    <row r="97" ht="14.25" customHeight="1">
      <c r="A97" s="14"/>
      <c r="B97" s="14"/>
      <c r="C97" s="14"/>
      <c r="D97" s="14"/>
      <c r="E97" s="14"/>
      <c r="F97" s="14"/>
      <c r="G97" s="14"/>
    </row>
    <row r="98" ht="14.25" customHeight="1"/>
    <row r="99" ht="14.25" customHeight="1">
      <c r="A99" s="9" t="s">
        <v>5</v>
      </c>
      <c r="B99" s="31" t="s">
        <v>78</v>
      </c>
      <c r="C99" s="9" t="s">
        <v>7</v>
      </c>
      <c r="D99" s="32" t="s">
        <v>79</v>
      </c>
      <c r="E99" s="32" t="s">
        <v>80</v>
      </c>
      <c r="F99" s="32" t="s">
        <v>81</v>
      </c>
      <c r="G99" s="32" t="s">
        <v>11</v>
      </c>
    </row>
    <row r="100" ht="14.25" customHeight="1">
      <c r="A100" s="33"/>
      <c r="B100" s="33"/>
      <c r="C100" s="33"/>
      <c r="D100" s="33"/>
      <c r="E100" s="33"/>
      <c r="F100" s="33"/>
      <c r="G100" s="33"/>
    </row>
    <row r="101" ht="14.25" customHeight="1">
      <c r="A101" s="14"/>
      <c r="B101" s="14"/>
      <c r="C101" s="14"/>
      <c r="D101" s="14"/>
      <c r="E101" s="14"/>
      <c r="F101" s="14"/>
      <c r="G101" s="14"/>
    </row>
    <row r="102" ht="14.25" customHeight="1">
      <c r="A102" s="14"/>
      <c r="B102" s="14"/>
      <c r="C102" s="14"/>
      <c r="D102" s="14"/>
      <c r="E102" s="14"/>
      <c r="F102" s="14"/>
      <c r="G102" s="14"/>
    </row>
    <row r="103" ht="14.25" customHeight="1">
      <c r="A103" s="14"/>
      <c r="B103" s="14"/>
      <c r="C103" s="14"/>
      <c r="D103" s="14"/>
      <c r="E103" s="14"/>
      <c r="F103" s="14"/>
      <c r="G103" s="14"/>
    </row>
    <row r="104" ht="14.25" customHeight="1"/>
    <row r="105" ht="14.25" customHeight="1">
      <c r="A105" s="22" t="s">
        <v>35</v>
      </c>
    </row>
    <row r="106" ht="14.25" customHeight="1">
      <c r="A106" s="22" t="s">
        <v>82</v>
      </c>
    </row>
    <row r="107" ht="14.25" customHeight="1">
      <c r="A107" s="34" t="s">
        <v>5</v>
      </c>
      <c r="B107" s="34" t="s">
        <v>83</v>
      </c>
      <c r="C107" s="34" t="s">
        <v>84</v>
      </c>
      <c r="D107" s="34" t="s">
        <v>85</v>
      </c>
      <c r="E107" s="34" t="s">
        <v>86</v>
      </c>
    </row>
    <row r="108" ht="14.25" customHeight="1">
      <c r="A108" s="35">
        <v>1.0</v>
      </c>
      <c r="B108" s="35"/>
      <c r="C108" s="35"/>
      <c r="D108" s="35"/>
      <c r="E108" s="35"/>
    </row>
    <row r="109" ht="14.25" customHeight="1">
      <c r="A109" s="35">
        <v>2.0</v>
      </c>
      <c r="B109" s="35"/>
      <c r="C109" s="35"/>
      <c r="D109" s="35"/>
      <c r="E109" s="35"/>
    </row>
    <row r="110" ht="14.25" customHeight="1">
      <c r="A110" s="35" t="s">
        <v>43</v>
      </c>
      <c r="B110" s="35"/>
      <c r="C110" s="35"/>
      <c r="D110" s="35"/>
      <c r="E110" s="35"/>
    </row>
    <row r="111" ht="14.25" customHeight="1">
      <c r="A111" s="35" t="s">
        <v>43</v>
      </c>
      <c r="B111" s="35"/>
      <c r="C111" s="35"/>
      <c r="D111" s="35"/>
      <c r="E111" s="35"/>
    </row>
    <row r="112" ht="14.25" customHeight="1">
      <c r="A112" s="35" t="s">
        <v>43</v>
      </c>
      <c r="B112" s="35"/>
      <c r="C112" s="35"/>
      <c r="D112" s="35"/>
      <c r="E112" s="35"/>
    </row>
    <row r="113" ht="14.25" customHeight="1">
      <c r="A113" s="35">
        <v>100.0</v>
      </c>
      <c r="B113" s="35"/>
      <c r="C113" s="35"/>
      <c r="D113" s="35"/>
      <c r="E113" s="35"/>
    </row>
    <row r="114" ht="14.25" customHeight="1"/>
    <row r="115" ht="14.25" customHeight="1">
      <c r="A115" s="22"/>
    </row>
    <row r="116" ht="14.25" customHeight="1">
      <c r="A116" s="22" t="s">
        <v>87</v>
      </c>
    </row>
    <row r="117" ht="14.25" customHeight="1">
      <c r="A117" s="9" t="s">
        <v>5</v>
      </c>
      <c r="B117" s="9" t="s">
        <v>38</v>
      </c>
      <c r="C117" s="9" t="s">
        <v>39</v>
      </c>
      <c r="D117" s="9" t="s">
        <v>40</v>
      </c>
      <c r="E117" s="9" t="s">
        <v>41</v>
      </c>
    </row>
    <row r="118" ht="14.25" customHeight="1">
      <c r="A118" s="14">
        <v>1.0</v>
      </c>
      <c r="B118" s="14"/>
      <c r="C118" s="14"/>
      <c r="D118" s="14"/>
      <c r="E118" s="14"/>
    </row>
    <row r="119" ht="14.25" customHeight="1">
      <c r="A119" s="14">
        <v>2.0</v>
      </c>
      <c r="B119" s="14"/>
      <c r="C119" s="14"/>
      <c r="D119" s="14"/>
      <c r="E119" s="14"/>
    </row>
    <row r="120" ht="14.25" customHeight="1">
      <c r="A120" s="14" t="s">
        <v>43</v>
      </c>
      <c r="B120" s="14"/>
      <c r="C120" s="14"/>
      <c r="D120" s="14"/>
      <c r="E120" s="14"/>
    </row>
    <row r="121" ht="14.25" customHeight="1">
      <c r="A121" s="14" t="s">
        <v>43</v>
      </c>
      <c r="B121" s="14"/>
      <c r="C121" s="14"/>
      <c r="D121" s="14"/>
      <c r="E121" s="14"/>
    </row>
    <row r="122" ht="14.25" customHeight="1">
      <c r="A122" s="14" t="s">
        <v>43</v>
      </c>
      <c r="B122" s="14"/>
      <c r="C122" s="14"/>
      <c r="D122" s="14"/>
      <c r="E122" s="14"/>
    </row>
    <row r="123" ht="14.25" customHeight="1">
      <c r="A123" s="14">
        <v>100.0</v>
      </c>
      <c r="B123" s="14"/>
      <c r="C123" s="14"/>
      <c r="D123" s="14"/>
      <c r="E123" s="14"/>
    </row>
    <row r="124" ht="14.25" customHeight="1"/>
    <row r="125" ht="14.25" customHeight="1">
      <c r="A125" s="22" t="s">
        <v>88</v>
      </c>
    </row>
    <row r="126" ht="14.25" customHeight="1">
      <c r="A126" s="9" t="s">
        <v>5</v>
      </c>
      <c r="B126" s="9" t="s">
        <v>49</v>
      </c>
      <c r="C126" s="9" t="s">
        <v>50</v>
      </c>
      <c r="D126" s="9" t="s">
        <v>51</v>
      </c>
      <c r="E126" s="9" t="s">
        <v>52</v>
      </c>
    </row>
    <row r="127" ht="14.25" customHeight="1">
      <c r="A127" s="14">
        <v>1.0</v>
      </c>
      <c r="B127" s="14"/>
      <c r="C127" s="14"/>
      <c r="D127" s="14"/>
      <c r="E127" s="14"/>
    </row>
    <row r="128" ht="14.25" customHeight="1">
      <c r="A128" s="14">
        <v>2.0</v>
      </c>
      <c r="B128" s="14"/>
      <c r="C128" s="14"/>
      <c r="D128" s="14"/>
      <c r="E128" s="14"/>
    </row>
    <row r="129" ht="14.25" customHeight="1">
      <c r="A129" s="14" t="s">
        <v>43</v>
      </c>
      <c r="B129" s="14"/>
      <c r="C129" s="14"/>
      <c r="D129" s="14"/>
      <c r="E129" s="14"/>
    </row>
    <row r="130" ht="14.25" customHeight="1">
      <c r="A130" s="14" t="s">
        <v>43</v>
      </c>
      <c r="B130" s="14"/>
      <c r="C130" s="14"/>
      <c r="D130" s="14"/>
      <c r="E130" s="14"/>
    </row>
    <row r="131" ht="14.25" customHeight="1">
      <c r="A131" s="14" t="s">
        <v>43</v>
      </c>
      <c r="B131" s="14"/>
      <c r="C131" s="14"/>
      <c r="D131" s="14"/>
      <c r="E131" s="14"/>
    </row>
    <row r="132" ht="14.25" customHeight="1">
      <c r="A132" s="14">
        <v>100.0</v>
      </c>
      <c r="B132" s="14"/>
      <c r="C132" s="14"/>
      <c r="D132" s="14"/>
      <c r="E132" s="14"/>
    </row>
    <row r="133" ht="14.25" customHeight="1"/>
    <row r="134" ht="14.25" customHeight="1">
      <c r="A134" s="22" t="s">
        <v>89</v>
      </c>
    </row>
    <row r="135" ht="14.25" customHeight="1">
      <c r="A135" s="9" t="s">
        <v>5</v>
      </c>
      <c r="B135" s="9" t="s">
        <v>56</v>
      </c>
      <c r="C135" s="9" t="s">
        <v>57</v>
      </c>
      <c r="D135" s="9" t="s">
        <v>59</v>
      </c>
      <c r="E135" s="9" t="s">
        <v>60</v>
      </c>
    </row>
    <row r="136" ht="14.25" customHeight="1">
      <c r="A136" s="14">
        <v>1.0</v>
      </c>
      <c r="B136" s="14"/>
      <c r="C136" s="14"/>
      <c r="D136" s="14"/>
      <c r="E136" s="14"/>
    </row>
    <row r="137" ht="14.25" customHeight="1">
      <c r="A137" s="14">
        <v>2.0</v>
      </c>
      <c r="B137" s="14"/>
      <c r="C137" s="14"/>
      <c r="D137" s="14"/>
      <c r="E137" s="14"/>
    </row>
    <row r="138" ht="14.25" customHeight="1">
      <c r="A138" s="14" t="s">
        <v>43</v>
      </c>
      <c r="B138" s="14"/>
      <c r="C138" s="14"/>
      <c r="D138" s="14"/>
      <c r="E138" s="14"/>
    </row>
    <row r="139" ht="14.25" customHeight="1">
      <c r="A139" s="14" t="s">
        <v>43</v>
      </c>
      <c r="B139" s="14"/>
      <c r="C139" s="14"/>
      <c r="D139" s="14"/>
      <c r="E139" s="14"/>
    </row>
    <row r="140" ht="14.25" customHeight="1">
      <c r="A140" s="14" t="s">
        <v>43</v>
      </c>
      <c r="B140" s="14"/>
      <c r="C140" s="14"/>
      <c r="D140" s="14"/>
      <c r="E140" s="14"/>
    </row>
    <row r="141" ht="14.25" customHeight="1">
      <c r="A141" s="14">
        <v>100.0</v>
      </c>
      <c r="B141" s="14"/>
      <c r="C141" s="14"/>
      <c r="D141" s="14"/>
      <c r="E141" s="14"/>
    </row>
    <row r="142" ht="14.25" customHeight="1"/>
    <row r="143" ht="14.25" customHeight="1">
      <c r="A143" s="22" t="s">
        <v>90</v>
      </c>
    </row>
    <row r="144" ht="14.25" customHeight="1">
      <c r="A144" s="9" t="s">
        <v>5</v>
      </c>
      <c r="B144" s="9" t="s">
        <v>62</v>
      </c>
      <c r="C144" s="9" t="s">
        <v>63</v>
      </c>
      <c r="D144" s="9" t="s">
        <v>64</v>
      </c>
      <c r="E144" s="9" t="s">
        <v>65</v>
      </c>
      <c r="F144" s="9" t="s">
        <v>66</v>
      </c>
    </row>
    <row r="145" ht="14.25" customHeight="1">
      <c r="A145" s="14"/>
      <c r="B145" s="14"/>
      <c r="C145" s="14"/>
      <c r="D145" s="14"/>
      <c r="E145" s="14"/>
      <c r="F145" s="14"/>
    </row>
    <row r="146" ht="14.25" customHeight="1">
      <c r="A146" s="14"/>
      <c r="B146" s="14"/>
      <c r="C146" s="14"/>
      <c r="D146" s="14"/>
      <c r="E146" s="14"/>
      <c r="F146" s="14"/>
    </row>
    <row r="147" ht="14.25" customHeight="1">
      <c r="A147" s="14"/>
      <c r="B147" s="14"/>
      <c r="C147" s="14"/>
      <c r="D147" s="14"/>
      <c r="E147" s="14"/>
      <c r="F147" s="14"/>
    </row>
    <row r="148" ht="14.25" customHeight="1">
      <c r="A148" s="14"/>
      <c r="B148" s="14"/>
      <c r="C148" s="14"/>
      <c r="D148" s="14"/>
      <c r="E148" s="14"/>
      <c r="F148" s="14"/>
    </row>
    <row r="149" ht="14.25" customHeight="1"/>
    <row r="150" ht="14.25" customHeight="1">
      <c r="A150" s="9" t="s">
        <v>5</v>
      </c>
      <c r="B150" s="9" t="s">
        <v>67</v>
      </c>
      <c r="C150" s="9" t="s">
        <v>68</v>
      </c>
      <c r="D150" s="9" t="s">
        <v>69</v>
      </c>
      <c r="E150" s="9" t="s">
        <v>70</v>
      </c>
      <c r="F150" s="9" t="s">
        <v>71</v>
      </c>
    </row>
    <row r="151" ht="14.25" customHeight="1">
      <c r="A151" s="14"/>
      <c r="B151" s="14"/>
      <c r="C151" s="14"/>
      <c r="D151" s="14"/>
      <c r="E151" s="14"/>
      <c r="F151" s="14"/>
    </row>
    <row r="152" ht="14.25" customHeight="1">
      <c r="A152" s="14"/>
      <c r="B152" s="14"/>
      <c r="C152" s="14"/>
      <c r="D152" s="14"/>
      <c r="E152" s="14"/>
      <c r="F152" s="14"/>
    </row>
    <row r="153" ht="14.25" customHeight="1">
      <c r="A153" s="14"/>
      <c r="B153" s="14"/>
      <c r="C153" s="14"/>
      <c r="D153" s="14"/>
      <c r="E153" s="14"/>
      <c r="F153" s="14"/>
    </row>
    <row r="154" ht="14.25" customHeight="1">
      <c r="A154" s="14"/>
      <c r="B154" s="14"/>
      <c r="C154" s="14"/>
      <c r="D154" s="14"/>
      <c r="E154" s="14"/>
      <c r="F154" s="1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3">
    <mergeCell ref="A1:Q1"/>
    <mergeCell ref="A2:Q2"/>
    <mergeCell ref="A106:Q1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5" width="8.71"/>
    <col customWidth="1" min="6" max="6" width="22.0"/>
    <col customWidth="1" min="7" max="26" width="8.71"/>
  </cols>
  <sheetData>
    <row r="1">
      <c r="A1" s="6"/>
    </row>
    <row r="2">
      <c r="A2" s="7" t="s">
        <v>12</v>
      </c>
    </row>
    <row r="3">
      <c r="A3" s="6"/>
    </row>
    <row r="4">
      <c r="A4" s="8" t="s">
        <v>13</v>
      </c>
      <c r="B4" s="8" t="s">
        <v>14</v>
      </c>
      <c r="C4" s="8" t="s">
        <v>15</v>
      </c>
      <c r="D4" s="8" t="s">
        <v>16</v>
      </c>
      <c r="E4" s="10" t="s">
        <v>18</v>
      </c>
      <c r="F4" s="11"/>
      <c r="G4" s="12"/>
    </row>
    <row r="5">
      <c r="A5" s="13"/>
      <c r="B5" s="13"/>
      <c r="C5" s="13"/>
      <c r="D5" s="13"/>
      <c r="E5" s="15"/>
      <c r="F5" s="16"/>
      <c r="G5" s="17"/>
    </row>
    <row r="6">
      <c r="A6" s="18" t="s">
        <v>19</v>
      </c>
      <c r="B6" s="18">
        <v>59.0</v>
      </c>
      <c r="C6" s="19">
        <v>55.0</v>
      </c>
      <c r="D6" s="20">
        <f t="shared" ref="D6:D17" si="1">C6/B6</f>
        <v>0.9322033898</v>
      </c>
      <c r="E6" s="21">
        <f t="shared" ref="E6:E17" si="2">IF(B6=0,"",C6/B6)</f>
        <v>0.9322033898</v>
      </c>
      <c r="F6" s="11"/>
      <c r="G6" s="12"/>
    </row>
    <row r="7">
      <c r="A7" s="18" t="s">
        <v>24</v>
      </c>
      <c r="B7" s="18">
        <v>67.0</v>
      </c>
      <c r="C7" s="18">
        <v>67.0</v>
      </c>
      <c r="D7" s="20">
        <f t="shared" si="1"/>
        <v>1</v>
      </c>
      <c r="E7" s="21">
        <f t="shared" si="2"/>
        <v>1</v>
      </c>
      <c r="F7" s="11"/>
      <c r="G7" s="12"/>
    </row>
    <row r="8">
      <c r="A8" s="18" t="s">
        <v>25</v>
      </c>
      <c r="B8" s="18">
        <v>54.0</v>
      </c>
      <c r="C8" s="18">
        <v>54.0</v>
      </c>
      <c r="D8" s="20">
        <f t="shared" si="1"/>
        <v>1</v>
      </c>
      <c r="E8" s="21">
        <f t="shared" si="2"/>
        <v>1</v>
      </c>
      <c r="F8" s="11"/>
      <c r="G8" s="12"/>
    </row>
    <row r="9">
      <c r="A9" s="18" t="s">
        <v>26</v>
      </c>
      <c r="B9" s="18">
        <v>47.0</v>
      </c>
      <c r="C9" s="18">
        <v>46.0</v>
      </c>
      <c r="D9" s="20">
        <f t="shared" si="1"/>
        <v>0.9787234043</v>
      </c>
      <c r="E9" s="21">
        <f t="shared" si="2"/>
        <v>0.9787234043</v>
      </c>
      <c r="F9" s="11"/>
      <c r="G9" s="12"/>
    </row>
    <row r="10">
      <c r="A10" s="18" t="s">
        <v>31</v>
      </c>
      <c r="B10" s="18">
        <v>44.0</v>
      </c>
      <c r="C10" s="18">
        <v>40.0</v>
      </c>
      <c r="D10" s="20">
        <f t="shared" si="1"/>
        <v>0.9090909091</v>
      </c>
      <c r="E10" s="21">
        <f t="shared" si="2"/>
        <v>0.9090909091</v>
      </c>
      <c r="F10" s="11"/>
      <c r="G10" s="12"/>
    </row>
    <row r="11">
      <c r="A11" s="18" t="s">
        <v>32</v>
      </c>
      <c r="B11" s="18">
        <v>42.0</v>
      </c>
      <c r="C11" s="18">
        <v>40.0</v>
      </c>
      <c r="D11" s="20">
        <f t="shared" si="1"/>
        <v>0.9523809524</v>
      </c>
      <c r="E11" s="21">
        <f t="shared" si="2"/>
        <v>0.9523809524</v>
      </c>
      <c r="F11" s="11"/>
      <c r="G11" s="12"/>
    </row>
    <row r="12">
      <c r="A12" s="18" t="s">
        <v>33</v>
      </c>
      <c r="B12" s="18">
        <v>81.0</v>
      </c>
      <c r="C12" s="18">
        <v>68.0</v>
      </c>
      <c r="D12" s="20">
        <f t="shared" si="1"/>
        <v>0.8395061728</v>
      </c>
      <c r="E12" s="21">
        <f t="shared" si="2"/>
        <v>0.8395061728</v>
      </c>
      <c r="F12" s="11"/>
      <c r="G12" s="12"/>
    </row>
    <row r="13">
      <c r="A13" s="18" t="s">
        <v>34</v>
      </c>
      <c r="B13" s="18">
        <v>106.0</v>
      </c>
      <c r="C13" s="18">
        <v>79.0</v>
      </c>
      <c r="D13" s="20">
        <f t="shared" si="1"/>
        <v>0.7452830189</v>
      </c>
      <c r="E13" s="21">
        <f t="shared" si="2"/>
        <v>0.7452830189</v>
      </c>
      <c r="F13" s="11"/>
      <c r="G13" s="12"/>
    </row>
    <row r="14">
      <c r="A14" s="18" t="s">
        <v>36</v>
      </c>
      <c r="B14" s="18">
        <v>31.0</v>
      </c>
      <c r="C14" s="18">
        <v>30.0</v>
      </c>
      <c r="D14" s="20">
        <f t="shared" si="1"/>
        <v>0.9677419355</v>
      </c>
      <c r="E14" s="21">
        <f t="shared" si="2"/>
        <v>0.9677419355</v>
      </c>
      <c r="F14" s="11"/>
      <c r="G14" s="12"/>
    </row>
    <row r="15">
      <c r="A15" s="18" t="s">
        <v>42</v>
      </c>
      <c r="B15" s="18">
        <v>54.0</v>
      </c>
      <c r="C15" s="18">
        <v>54.0</v>
      </c>
      <c r="D15" s="20">
        <f t="shared" si="1"/>
        <v>1</v>
      </c>
      <c r="E15" s="21">
        <f t="shared" si="2"/>
        <v>1</v>
      </c>
      <c r="F15" s="11"/>
      <c r="G15" s="12"/>
    </row>
    <row r="16">
      <c r="A16" s="18" t="s">
        <v>44</v>
      </c>
      <c r="B16" s="18">
        <v>39.0</v>
      </c>
      <c r="C16" s="18">
        <v>33.0</v>
      </c>
      <c r="D16" s="20">
        <f t="shared" si="1"/>
        <v>0.8461538462</v>
      </c>
      <c r="E16" s="21">
        <f t="shared" si="2"/>
        <v>0.8461538462</v>
      </c>
      <c r="F16" s="11"/>
      <c r="G16" s="12"/>
    </row>
    <row r="17">
      <c r="A17" s="18" t="s">
        <v>45</v>
      </c>
      <c r="B17" s="18">
        <v>71.0</v>
      </c>
      <c r="C17" s="18">
        <v>71.0</v>
      </c>
      <c r="D17" s="20">
        <f t="shared" si="1"/>
        <v>1</v>
      </c>
      <c r="E17" s="21">
        <f t="shared" si="2"/>
        <v>1</v>
      </c>
      <c r="F17" s="11"/>
      <c r="G17" s="12"/>
    </row>
    <row r="18">
      <c r="A18" s="23" t="s">
        <v>46</v>
      </c>
      <c r="B18" s="24"/>
      <c r="C18" s="25"/>
      <c r="D18" s="26">
        <f>(B6*D6 + B7*D7 + B8*D8 + B9*D9 + B10*D10 + B11*D11 + B12*D12 + B13*D13 + B14*D14 + B15*D15 + B16*D16 + B17*D17) /
(B6+B7+B8+B9+B10+B11+B12+B13+B14+B15+B16+B17)</f>
        <v>0.9165467626</v>
      </c>
      <c r="E18" s="27">
        <f>(B6*D6 + B7*D7 + B8*D8 + B9*D9 + B10*D10 + B11*D11 + B12*D12 + B13*D13 + B14*D14 + B15*D15 + B16*D16 + B17*D17) /
(B6+B7+B8+B9+B10+B11+B12+B13+B14+B15+B16+B17)</f>
        <v>0.9165467626</v>
      </c>
      <c r="F18" s="24"/>
      <c r="G18" s="25"/>
    </row>
    <row r="20">
      <c r="A20" s="28" t="s">
        <v>47</v>
      </c>
      <c r="B20" s="29">
        <f>(B6*D6 + B7*D7 + B8*D8) / (B6+B7+B8)</f>
        <v>0.9777777778</v>
      </c>
      <c r="C20" s="30">
        <f>(B6*D6 + B7*D7 + B8*D8) / (B6+B7+B8)</f>
        <v>0.9777777778</v>
      </c>
    </row>
    <row r="21">
      <c r="A21" s="28" t="s">
        <v>53</v>
      </c>
      <c r="B21" s="29">
        <f t="shared" ref="B21:C21" si="3">(B9*D9 + B10*D10 + B11*D11) / (B9+B10+B11)</f>
        <v>0.9473684211</v>
      </c>
      <c r="C21" s="30">
        <f t="shared" si="3"/>
        <v>0.9482551671</v>
      </c>
    </row>
    <row r="22">
      <c r="A22" s="28" t="s">
        <v>54</v>
      </c>
      <c r="B22" s="29">
        <f t="shared" ref="B22:C22" si="4">(B12*D12 + B13*D13 + B14*D14) / (B12+B13+B14)</f>
        <v>0.8119266055</v>
      </c>
      <c r="C22" s="30">
        <f t="shared" si="4"/>
        <v>0.8191866458</v>
      </c>
    </row>
    <row r="23">
      <c r="A23" s="28" t="s">
        <v>58</v>
      </c>
      <c r="B23" s="29">
        <f t="shared" ref="B23:C23" si="5">(B15*D15 + B16*D16 + B17*D17) / (B15+B16+B17)</f>
        <v>0.9634146341</v>
      </c>
      <c r="C23" s="30">
        <f t="shared" si="5"/>
        <v>0.9678675755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22">
    <mergeCell ref="A1:Z1"/>
    <mergeCell ref="A2:Z2"/>
    <mergeCell ref="A3:Z3"/>
    <mergeCell ref="A4:A5"/>
    <mergeCell ref="B4:B5"/>
    <mergeCell ref="C4:C5"/>
    <mergeCell ref="D4:D5"/>
    <mergeCell ref="E12:G12"/>
    <mergeCell ref="E13:G13"/>
    <mergeCell ref="E14:G14"/>
    <mergeCell ref="E15:G15"/>
    <mergeCell ref="E16:G16"/>
    <mergeCell ref="E17:G17"/>
    <mergeCell ref="A18:C18"/>
    <mergeCell ref="E18:G18"/>
    <mergeCell ref="E4:G5"/>
    <mergeCell ref="E6:G6"/>
    <mergeCell ref="E7:G7"/>
    <mergeCell ref="E8:G8"/>
    <mergeCell ref="E9:G9"/>
    <mergeCell ref="E10:G10"/>
    <mergeCell ref="E11:G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2026-04-12T06:30:02Z</dcterms:created>
  <dc:creator>ilsandy pattiasina</dc:creator>
</cp:coreProperties>
</file>